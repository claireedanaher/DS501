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PI\DS501\CaseStudy\CaseStudy1\"/>
    </mc:Choice>
  </mc:AlternateContent>
  <bookViews>
    <workbookView xWindow="0" yWindow="0" windowWidth="20490" windowHeight="7530"/>
  </bookViews>
  <sheets>
    <sheet name="sensitivityanalysis" sheetId="1" r:id="rId1"/>
  </sheets>
  <calcPr calcId="0"/>
</workbook>
</file>

<file path=xl/calcChain.xml><?xml version="1.0" encoding="utf-8"?>
<calcChain xmlns="http://schemas.openxmlformats.org/spreadsheetml/2006/main">
  <c r="C12" i="1" l="1"/>
  <c r="L12" i="1" s="1"/>
  <c r="C11" i="1"/>
  <c r="L11" i="1" s="1"/>
  <c r="C10" i="1"/>
  <c r="L10" i="1" s="1"/>
  <c r="C9" i="1"/>
  <c r="L9" i="1" s="1"/>
  <c r="C8" i="1"/>
  <c r="L8" i="1" s="1"/>
  <c r="C7" i="1"/>
  <c r="L7" i="1" s="1"/>
  <c r="C6" i="1"/>
  <c r="L6" i="1" s="1"/>
  <c r="C5" i="1"/>
  <c r="L5" i="1" s="1"/>
  <c r="C4" i="1"/>
  <c r="L4" i="1" s="1"/>
  <c r="C3" i="1"/>
  <c r="L3" i="1" s="1"/>
  <c r="C13" i="1"/>
  <c r="L13" i="1" s="1"/>
</calcChain>
</file>

<file path=xl/sharedStrings.xml><?xml version="1.0" encoding="utf-8"?>
<sst xmlns="http://schemas.openxmlformats.org/spreadsheetml/2006/main" count="26" uniqueCount="20">
  <si>
    <t>'results_091317_12PM.txt'</t>
  </si>
  <si>
    <t xml:space="preserve"> 'results_091317_7PM.txt'</t>
  </si>
  <si>
    <t xml:space="preserve"> 'results_091417_12PM.txt'</t>
  </si>
  <si>
    <t xml:space="preserve"> 'results_091417_19.txt'</t>
  </si>
  <si>
    <t xml:space="preserve"> 'results_091417_9AM.txt'</t>
  </si>
  <si>
    <t xml:space="preserve"> 'results_091517_12PM.txt'</t>
  </si>
  <si>
    <t xml:space="preserve"> 'results_091517_7PM.txt'</t>
  </si>
  <si>
    <t xml:space="preserve"> 'results_091517_9AM.txt'</t>
  </si>
  <si>
    <t xml:space="preserve"> 'results_091617_1030AM.txt'</t>
  </si>
  <si>
    <t xml:space="preserve"> 'results_091617_7PM.txt'</t>
  </si>
  <si>
    <t xml:space="preserve"> 'results_091717_8AM.txt'</t>
  </si>
  <si>
    <t>Total Number of Tweets</t>
  </si>
  <si>
    <t>Number of Tweets</t>
  </si>
  <si>
    <t>Positive</t>
  </si>
  <si>
    <t>Negative</t>
  </si>
  <si>
    <t>Neutral</t>
  </si>
  <si>
    <t>Polarity</t>
  </si>
  <si>
    <t>Subjectivity</t>
  </si>
  <si>
    <t>Non-Neutral Tweets</t>
  </si>
  <si>
    <t>Weighted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</si>
</sst>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H19" sqref="H19"/>
    </sheetView>
  </sheetViews>
  <sheetFormatPr defaultRowHeight="15" x14ac:dyDescent="0.25"/>
  <cols>
    <col min="2" max="3" width="13.140625" customWidth="1"/>
    <col min="4" max="11" width="15" customWidth="1"/>
    <col min="12" max="12" width="20.42578125" customWidth="1"/>
  </cols>
  <sheetData>
    <row r="1" spans="1:12" x14ac:dyDescent="0.25">
      <c r="D1" s="2" t="s">
        <v>13</v>
      </c>
      <c r="E1" s="2"/>
      <c r="F1" s="2"/>
      <c r="G1" s="2" t="s">
        <v>14</v>
      </c>
      <c r="H1" s="2"/>
      <c r="I1" s="2"/>
      <c r="J1" s="2" t="s">
        <v>15</v>
      </c>
      <c r="K1" s="2"/>
      <c r="L1" s="1" t="s">
        <v>19</v>
      </c>
    </row>
    <row r="2" spans="1:12" s="3" customFormat="1" ht="45" x14ac:dyDescent="0.25">
      <c r="B2" s="3" t="s">
        <v>11</v>
      </c>
      <c r="C2" s="3" t="s">
        <v>18</v>
      </c>
      <c r="D2" s="3" t="s">
        <v>12</v>
      </c>
      <c r="E2" s="3" t="s">
        <v>16</v>
      </c>
      <c r="F2" s="3" t="s">
        <v>17</v>
      </c>
      <c r="G2" s="3" t="s">
        <v>12</v>
      </c>
      <c r="H2" s="3" t="s">
        <v>16</v>
      </c>
      <c r="I2" s="3" t="s">
        <v>17</v>
      </c>
      <c r="J2" s="3" t="s">
        <v>12</v>
      </c>
      <c r="K2" s="3" t="s">
        <v>17</v>
      </c>
      <c r="L2" s="4" t="s">
        <v>16</v>
      </c>
    </row>
    <row r="3" spans="1:12" x14ac:dyDescent="0.25">
      <c r="A3" t="s">
        <v>0</v>
      </c>
      <c r="B3">
        <v>1721</v>
      </c>
      <c r="C3">
        <f t="shared" ref="C3:C12" si="0">D3+G3</f>
        <v>492</v>
      </c>
      <c r="D3">
        <v>393</v>
      </c>
      <c r="E3">
        <v>0.44654044878997201</v>
      </c>
      <c r="F3">
        <v>0.47717702286404501</v>
      </c>
      <c r="G3">
        <v>99</v>
      </c>
      <c r="H3">
        <v>-0.31284419774950101</v>
      </c>
      <c r="I3">
        <v>0.54386777223898397</v>
      </c>
      <c r="J3">
        <v>1229</v>
      </c>
      <c r="K3">
        <v>0.39589225589225502</v>
      </c>
      <c r="L3" s="1">
        <f>(D3/C3)*E3+(G3/C3)*H3</f>
        <v>0.2937374406448342</v>
      </c>
    </row>
    <row r="4" spans="1:12" x14ac:dyDescent="0.25">
      <c r="A4" t="s">
        <v>1</v>
      </c>
      <c r="B4">
        <v>1562</v>
      </c>
      <c r="C4">
        <f t="shared" si="0"/>
        <v>405</v>
      </c>
      <c r="D4">
        <v>282</v>
      </c>
      <c r="E4">
        <v>0.37895443210041702</v>
      </c>
      <c r="F4">
        <v>0.54843688275869096</v>
      </c>
      <c r="G4">
        <v>123</v>
      </c>
      <c r="H4">
        <v>-0.26880712613944302</v>
      </c>
      <c r="I4">
        <v>0.56261101139149905</v>
      </c>
      <c r="J4">
        <v>1157</v>
      </c>
      <c r="K4">
        <v>0.365650406504065</v>
      </c>
      <c r="L4" s="1">
        <f t="shared" ref="L4:L13" si="1">(D4/C4)*E4+(G4/C4)*H4</f>
        <v>0.18222684774608916</v>
      </c>
    </row>
    <row r="5" spans="1:12" x14ac:dyDescent="0.25">
      <c r="A5" t="s">
        <v>2</v>
      </c>
      <c r="B5">
        <v>1861</v>
      </c>
      <c r="C5">
        <f t="shared" si="0"/>
        <v>461</v>
      </c>
      <c r="D5">
        <v>370</v>
      </c>
      <c r="E5">
        <v>0.35604036199348699</v>
      </c>
      <c r="F5">
        <v>0.48956538844038799</v>
      </c>
      <c r="G5">
        <v>91</v>
      </c>
      <c r="H5">
        <v>-0.27579147882032401</v>
      </c>
      <c r="I5">
        <v>0.49502007607776799</v>
      </c>
      <c r="J5">
        <v>1400</v>
      </c>
      <c r="K5">
        <v>0.43173076923076897</v>
      </c>
      <c r="L5" s="1">
        <f t="shared" si="1"/>
        <v>0.23131867541201884</v>
      </c>
    </row>
    <row r="6" spans="1:12" x14ac:dyDescent="0.25">
      <c r="A6" t="s">
        <v>3</v>
      </c>
      <c r="B6">
        <v>1650</v>
      </c>
      <c r="C6">
        <f t="shared" si="0"/>
        <v>388</v>
      </c>
      <c r="D6">
        <v>282</v>
      </c>
      <c r="E6">
        <v>0.35924418541896902</v>
      </c>
      <c r="F6">
        <v>0.491628244194732</v>
      </c>
      <c r="G6">
        <v>106</v>
      </c>
      <c r="H6">
        <v>-0.286121949138606</v>
      </c>
      <c r="I6">
        <v>0.54050202636287503</v>
      </c>
      <c r="J6">
        <v>1262</v>
      </c>
      <c r="K6">
        <v>0.38586028751123003</v>
      </c>
      <c r="L6" s="1">
        <f t="shared" si="1"/>
        <v>0.1829328187614872</v>
      </c>
    </row>
    <row r="7" spans="1:12" x14ac:dyDescent="0.25">
      <c r="A7" t="s">
        <v>4</v>
      </c>
      <c r="B7">
        <v>2967</v>
      </c>
      <c r="C7">
        <f t="shared" si="0"/>
        <v>842</v>
      </c>
      <c r="D7">
        <v>667</v>
      </c>
      <c r="E7">
        <v>0.3425660874807</v>
      </c>
      <c r="F7">
        <v>0.46709937149030101</v>
      </c>
      <c r="G7">
        <v>175</v>
      </c>
      <c r="H7">
        <v>-0.24396229335314101</v>
      </c>
      <c r="I7">
        <v>0.46354092204092101</v>
      </c>
      <c r="J7">
        <v>2125</v>
      </c>
      <c r="K7">
        <v>0.34359183673469301</v>
      </c>
      <c r="L7" s="1">
        <f t="shared" si="1"/>
        <v>0.22066292044278768</v>
      </c>
    </row>
    <row r="8" spans="1:12" x14ac:dyDescent="0.25">
      <c r="A8" t="s">
        <v>5</v>
      </c>
      <c r="B8">
        <v>2666</v>
      </c>
      <c r="C8">
        <f t="shared" si="0"/>
        <v>785</v>
      </c>
      <c r="D8">
        <v>582</v>
      </c>
      <c r="E8">
        <v>0.39251515323264202</v>
      </c>
      <c r="F8">
        <v>0.52636147620039297</v>
      </c>
      <c r="G8">
        <v>203</v>
      </c>
      <c r="H8">
        <v>-0.27244341119947202</v>
      </c>
      <c r="I8">
        <v>0.47822578921716902</v>
      </c>
      <c r="J8">
        <v>1881</v>
      </c>
      <c r="K8">
        <v>0.26104269293924398</v>
      </c>
      <c r="L8" s="1">
        <f t="shared" si="1"/>
        <v>0.22055771555147113</v>
      </c>
    </row>
    <row r="9" spans="1:12" x14ac:dyDescent="0.25">
      <c r="A9" t="s">
        <v>6</v>
      </c>
      <c r="B9">
        <v>1344</v>
      </c>
      <c r="C9">
        <f t="shared" si="0"/>
        <v>347</v>
      </c>
      <c r="D9">
        <v>260</v>
      </c>
      <c r="E9">
        <v>0.32647282231657199</v>
      </c>
      <c r="F9">
        <v>0.48113829920079898</v>
      </c>
      <c r="G9">
        <v>87</v>
      </c>
      <c r="H9">
        <v>-0.23918579930074099</v>
      </c>
      <c r="I9">
        <v>0.426465205718079</v>
      </c>
      <c r="J9">
        <v>997</v>
      </c>
      <c r="K9">
        <v>0.34679118773946299</v>
      </c>
      <c r="L9" s="1">
        <f t="shared" si="1"/>
        <v>0.18465063188226011</v>
      </c>
    </row>
    <row r="10" spans="1:12" x14ac:dyDescent="0.25">
      <c r="A10" t="s">
        <v>7</v>
      </c>
      <c r="B10">
        <v>1823</v>
      </c>
      <c r="C10">
        <f t="shared" si="0"/>
        <v>418</v>
      </c>
      <c r="D10">
        <v>297</v>
      </c>
      <c r="E10">
        <v>0.36458303878127002</v>
      </c>
      <c r="F10">
        <v>0.52977120288988899</v>
      </c>
      <c r="G10">
        <v>121</v>
      </c>
      <c r="H10">
        <v>-0.30668343477203502</v>
      </c>
      <c r="I10">
        <v>0.4851304272327</v>
      </c>
      <c r="J10">
        <v>1405</v>
      </c>
      <c r="K10">
        <v>0.32439492325855901</v>
      </c>
      <c r="L10" s="1">
        <f t="shared" si="1"/>
        <v>0.17026905959478697</v>
      </c>
    </row>
    <row r="11" spans="1:12" x14ac:dyDescent="0.25">
      <c r="A11" t="s">
        <v>8</v>
      </c>
      <c r="B11">
        <v>1563</v>
      </c>
      <c r="C11">
        <f t="shared" si="0"/>
        <v>404</v>
      </c>
      <c r="D11">
        <v>314</v>
      </c>
      <c r="E11">
        <v>0.37079916573606803</v>
      </c>
      <c r="F11">
        <v>0.52951905428258805</v>
      </c>
      <c r="G11">
        <v>90</v>
      </c>
      <c r="H11">
        <v>-0.20294047927381201</v>
      </c>
      <c r="I11">
        <v>0.39364546872880102</v>
      </c>
      <c r="J11">
        <v>1159</v>
      </c>
      <c r="K11">
        <v>0.334735449735449</v>
      </c>
      <c r="L11" s="1">
        <f t="shared" si="1"/>
        <v>0.2429858784813918</v>
      </c>
    </row>
    <row r="12" spans="1:12" x14ac:dyDescent="0.25">
      <c r="A12" t="s">
        <v>9</v>
      </c>
      <c r="B12">
        <v>798</v>
      </c>
      <c r="C12">
        <f t="shared" si="0"/>
        <v>307</v>
      </c>
      <c r="D12">
        <v>259</v>
      </c>
      <c r="E12">
        <v>0.40780964498821598</v>
      </c>
      <c r="F12">
        <v>0.55328793218078898</v>
      </c>
      <c r="G12">
        <v>48</v>
      </c>
      <c r="H12">
        <v>-0.23676164402726799</v>
      </c>
      <c r="I12">
        <v>0.41314961080585999</v>
      </c>
      <c r="J12">
        <v>491</v>
      </c>
      <c r="K12">
        <v>0.35274057539682502</v>
      </c>
      <c r="L12" s="1">
        <f t="shared" si="1"/>
        <v>0.30702976918123481</v>
      </c>
    </row>
    <row r="13" spans="1:12" x14ac:dyDescent="0.25">
      <c r="A13" t="s">
        <v>10</v>
      </c>
      <c r="B13">
        <v>1713</v>
      </c>
      <c r="C13">
        <f>D13+G13</f>
        <v>355</v>
      </c>
      <c r="D13">
        <v>289</v>
      </c>
      <c r="E13">
        <v>0.33714089319625601</v>
      </c>
      <c r="F13">
        <v>0.55887149215003795</v>
      </c>
      <c r="G13">
        <v>66</v>
      </c>
      <c r="H13">
        <v>-0.18702951649921301</v>
      </c>
      <c r="I13">
        <v>0.43127216358276899</v>
      </c>
      <c r="J13">
        <v>1358</v>
      </c>
      <c r="K13">
        <v>0.58560606060606002</v>
      </c>
      <c r="L13" s="1">
        <f t="shared" si="1"/>
        <v>0.23968949308385895</v>
      </c>
    </row>
  </sheetData>
  <mergeCells count="3">
    <mergeCell ref="G1:I1"/>
    <mergeCell ref="J1:K1"/>
    <mergeCell ref="D1:F1"/>
  </mergeCells>
  <pageMargins left="0.7" right="0.7" top="0.75" bottom="0.75" header="0.3" footer="0.3"/>
</worksheet>
</file>