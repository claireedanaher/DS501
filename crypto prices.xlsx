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ny\Documents\GitHub\DS501\"/>
    </mc:Choice>
  </mc:AlternateContent>
  <bookViews>
    <workbookView xWindow="960" yWindow="0" windowWidth="38400" windowHeight="17610" xr2:uid="{535A3932-3996-4FFF-AC59-664373BA3DB2}"/>
  </bookViews>
  <sheets>
    <sheet name="Sheet1" sheetId="1" r:id="rId1"/>
    <sheet name="Namecoin" sheetId="6" r:id="rId2"/>
    <sheet name="BTC" sheetId="2" r:id="rId3"/>
    <sheet name="ETH" sheetId="3" r:id="rId4"/>
    <sheet name="LTC" sheetId="4" r:id="rId5"/>
    <sheet name="XRP" sheetId="5" r:id="rId6"/>
  </sheets>
  <definedNames>
    <definedName name="_xlchart.v1.0" hidden="1">Sheet1!$C$1</definedName>
    <definedName name="_xlchart.v1.1" hidden="1">Sheet1!$C$13:$C$22</definedName>
    <definedName name="_xlchart.v1.10" hidden="1">Sheet1!$C$1</definedName>
    <definedName name="_xlchart.v1.11" hidden="1">Sheet1!$C$13:$C$22</definedName>
    <definedName name="_xlchart.v1.12" hidden="1">Sheet1!$D$1</definedName>
    <definedName name="_xlchart.v1.13" hidden="1">Sheet1!$D$13:$D$22</definedName>
    <definedName name="_xlchart.v1.14" hidden="1">Sheet1!$E$1</definedName>
    <definedName name="_xlchart.v1.15" hidden="1">Sheet1!$E$13:$E$22</definedName>
    <definedName name="_xlchart.v1.16" hidden="1">Sheet1!$F$1</definedName>
    <definedName name="_xlchart.v1.17" hidden="1">Sheet1!$F$13:$F$22</definedName>
    <definedName name="_xlchart.v1.18" hidden="1">Sheet1!$G$1</definedName>
    <definedName name="_xlchart.v1.19" hidden="1">Sheet1!$G$13:$G$22</definedName>
    <definedName name="_xlchart.v1.2" hidden="1">Sheet1!$D$1</definedName>
    <definedName name="_xlchart.v1.3" hidden="1">Sheet1!$D$13:$D$22</definedName>
    <definedName name="_xlchart.v1.4" hidden="1">Sheet1!$E$1</definedName>
    <definedName name="_xlchart.v1.5" hidden="1">Sheet1!$E$13:$E$22</definedName>
    <definedName name="_xlchart.v1.6" hidden="1">Sheet1!$F$1</definedName>
    <definedName name="_xlchart.v1.7" hidden="1">Sheet1!$F$13:$F$22</definedName>
    <definedName name="_xlchart.v1.8" hidden="1">Sheet1!$G$1</definedName>
    <definedName name="_xlchart.v1.9" hidden="1">Sheet1!$G$13:$G$22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" l="1"/>
  <c r="I32" i="1"/>
  <c r="I33" i="1"/>
  <c r="I34" i="1"/>
  <c r="I35" i="1"/>
  <c r="I36" i="1"/>
  <c r="I37" i="1"/>
  <c r="I38" i="1"/>
  <c r="I31" i="1"/>
  <c r="M15" i="1"/>
  <c r="M16" i="1"/>
  <c r="M17" i="1"/>
  <c r="M18" i="1"/>
  <c r="M19" i="1"/>
  <c r="M20" i="1"/>
  <c r="M21" i="1"/>
  <c r="M22" i="1"/>
  <c r="L15" i="1"/>
  <c r="L16" i="1"/>
  <c r="L17" i="1"/>
  <c r="L18" i="1"/>
  <c r="L19" i="1"/>
  <c r="L20" i="1"/>
  <c r="L21" i="1"/>
  <c r="L22" i="1"/>
  <c r="K15" i="1"/>
  <c r="K16" i="1"/>
  <c r="K17" i="1"/>
  <c r="K18" i="1"/>
  <c r="K19" i="1"/>
  <c r="K20" i="1"/>
  <c r="K21" i="1"/>
  <c r="K22" i="1"/>
  <c r="J15" i="1"/>
  <c r="J16" i="1"/>
  <c r="J17" i="1"/>
  <c r="J18" i="1"/>
  <c r="J19" i="1"/>
  <c r="J20" i="1"/>
  <c r="J21" i="1"/>
  <c r="J22" i="1"/>
  <c r="J14" i="1"/>
  <c r="K14" i="1"/>
  <c r="L14" i="1"/>
  <c r="M14" i="1"/>
  <c r="I15" i="1"/>
  <c r="I16" i="1"/>
  <c r="I17" i="1"/>
  <c r="I18" i="1"/>
  <c r="I19" i="1"/>
  <c r="I20" i="1"/>
  <c r="I21" i="1"/>
  <c r="I22" i="1"/>
  <c r="I14" i="1"/>
  <c r="F31" i="1"/>
  <c r="F32" i="1"/>
  <c r="F33" i="1"/>
  <c r="F34" i="1"/>
  <c r="F35" i="1"/>
  <c r="F36" i="1"/>
  <c r="F37" i="1"/>
  <c r="F38" i="1"/>
  <c r="F39" i="1"/>
  <c r="F30" i="1"/>
  <c r="E31" i="1"/>
  <c r="E32" i="1"/>
  <c r="E33" i="1"/>
  <c r="E34" i="1"/>
  <c r="E35" i="1"/>
  <c r="E36" i="1"/>
  <c r="E37" i="1"/>
  <c r="E38" i="1"/>
  <c r="E39" i="1"/>
  <c r="E30" i="1"/>
  <c r="G14" i="1" l="1"/>
  <c r="G15" i="1"/>
  <c r="G16" i="1"/>
  <c r="G17" i="1"/>
  <c r="G18" i="1"/>
  <c r="G19" i="1"/>
  <c r="G20" i="1"/>
  <c r="G21" i="1"/>
  <c r="G22" i="1"/>
  <c r="G13" i="1"/>
  <c r="F14" i="1"/>
  <c r="F15" i="1"/>
  <c r="F16" i="1"/>
  <c r="F17" i="1"/>
  <c r="F18" i="1"/>
  <c r="F19" i="1"/>
  <c r="F20" i="1"/>
  <c r="F21" i="1"/>
  <c r="F22" i="1"/>
  <c r="F13" i="1"/>
  <c r="E14" i="1"/>
  <c r="E15" i="1"/>
  <c r="E16" i="1"/>
  <c r="E17" i="1"/>
  <c r="E18" i="1"/>
  <c r="E19" i="1"/>
  <c r="E20" i="1"/>
  <c r="E21" i="1"/>
  <c r="E22" i="1"/>
  <c r="E13" i="1"/>
  <c r="D14" i="1"/>
  <c r="D15" i="1"/>
  <c r="D16" i="1"/>
  <c r="D17" i="1"/>
  <c r="D18" i="1"/>
  <c r="D19" i="1"/>
  <c r="D20" i="1"/>
  <c r="D21" i="1"/>
  <c r="D22" i="1"/>
  <c r="D13" i="1"/>
  <c r="C14" i="1"/>
  <c r="C15" i="1"/>
  <c r="C16" i="1"/>
  <c r="C17" i="1"/>
  <c r="C18" i="1"/>
  <c r="C19" i="1"/>
  <c r="C20" i="1"/>
  <c r="C21" i="1"/>
  <c r="C22" i="1"/>
  <c r="C13" i="1"/>
</calcChain>
</file>

<file path=xl/sharedStrings.xml><?xml version="1.0" encoding="utf-8"?>
<sst xmlns="http://schemas.openxmlformats.org/spreadsheetml/2006/main" count="35" uniqueCount="21">
  <si>
    <t>12p</t>
  </si>
  <si>
    <t>7p</t>
  </si>
  <si>
    <t>9a</t>
  </si>
  <si>
    <t>10:30a</t>
  </si>
  <si>
    <t>8a</t>
  </si>
  <si>
    <t>Date</t>
  </si>
  <si>
    <t>Time</t>
  </si>
  <si>
    <t>BTC</t>
  </si>
  <si>
    <t>ETH</t>
  </si>
  <si>
    <t>XRP</t>
  </si>
  <si>
    <t>Namecoin</t>
  </si>
  <si>
    <t>LTC</t>
  </si>
  <si>
    <t>bitstamp.net</t>
  </si>
  <si>
    <t>namecoin from https://coinmarketcap.com/currencies/namecoin/</t>
  </si>
  <si>
    <t>positve</t>
  </si>
  <si>
    <t>negative</t>
  </si>
  <si>
    <t>neutral</t>
  </si>
  <si>
    <t>Relative Sentiment</t>
  </si>
  <si>
    <t>positive</t>
  </si>
  <si>
    <t>Relative</t>
  </si>
  <si>
    <t>Directionality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</si>
</sst>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Crypto</a:t>
            </a:r>
            <a:r>
              <a:rPr lang="en-US" baseline="0"/>
              <a:t> Relative Prices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433416463511457E-2"/>
          <c:y val="0.11122060746810745"/>
          <c:w val="0.94407666657326195"/>
          <c:h val="0.83921809848713658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0860984"/>
        <c:axId val="380861640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v>Neutral</c:v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Sheet1!$C$30:$C$40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0.2937374406448342</c:v>
                      </c:pt>
                      <c:pt idx="1">
                        <c:v>0.18222684774608916</c:v>
                      </c:pt>
                      <c:pt idx="2">
                        <c:v>0.23131867541201884</c:v>
                      </c:pt>
                      <c:pt idx="3">
                        <c:v>0.1829328187614872</c:v>
                      </c:pt>
                      <c:pt idx="4">
                        <c:v>0.22066292044278768</c:v>
                      </c:pt>
                      <c:pt idx="5">
                        <c:v>0.22055771555147113</c:v>
                      </c:pt>
                      <c:pt idx="6">
                        <c:v>0.18465063188226011</c:v>
                      </c:pt>
                      <c:pt idx="7">
                        <c:v>0.17026905959478697</c:v>
                      </c:pt>
                      <c:pt idx="8">
                        <c:v>0.2429858784813918</c:v>
                      </c:pt>
                      <c:pt idx="9">
                        <c:v>0.30702976918123481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B12-40FB-A401-165514E880C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v>Negative</c:v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Sheet1!$F$30:$F$39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-14.076358752007005</c:v>
                      </c:pt>
                      <c:pt idx="2">
                        <c:v>-11.843824880155092</c:v>
                      </c:pt>
                      <c:pt idx="3">
                        <c:v>-8.5417114343581044</c:v>
                      </c:pt>
                      <c:pt idx="4">
                        <c:v>-22.017958105623794</c:v>
                      </c:pt>
                      <c:pt idx="5">
                        <c:v>-12.914027762272422</c:v>
                      </c:pt>
                      <c:pt idx="6">
                        <c:v>-23.5447545387239</c:v>
                      </c:pt>
                      <c:pt idx="7">
                        <c:v>-1.9692751285734242</c:v>
                      </c:pt>
                      <c:pt idx="8">
                        <c:v>-35.130496031667029</c:v>
                      </c:pt>
                      <c:pt idx="9">
                        <c:v>-24.319630752159082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B12-40FB-A401-165514E880C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Positive</c:v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Sheet1!$E$30:$E$39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-15.135474708438727</c:v>
                      </c:pt>
                      <c:pt idx="2">
                        <c:v>-20.266940439935659</c:v>
                      </c:pt>
                      <c:pt idx="3">
                        <c:v>-19.549463796069759</c:v>
                      </c:pt>
                      <c:pt idx="4">
                        <c:v>-23.284421734026566</c:v>
                      </c:pt>
                      <c:pt idx="5">
                        <c:v>-12.098634223109428</c:v>
                      </c:pt>
                      <c:pt idx="6">
                        <c:v>-26.888409952280316</c:v>
                      </c:pt>
                      <c:pt idx="7">
                        <c:v>-18.353860267482787</c:v>
                      </c:pt>
                      <c:pt idx="8">
                        <c:v>-16.961796688104396</c:v>
                      </c:pt>
                      <c:pt idx="9">
                        <c:v>-8.6735264199935589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B12-40FB-A401-165514E880C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Sheet1!$C$13:$C$22</c:f>
              <c:numCache>
                <c:formatCode>General</c:formatCode>
                <c:ptCount val="10"/>
                <c:pt idx="0">
                  <c:v>0</c:v>
                </c:pt>
                <c:pt idx="1">
                  <c:v>3.1022303908092863</c:v>
                </c:pt>
                <c:pt idx="2">
                  <c:v>-8.787776442527969</c:v>
                </c:pt>
                <c:pt idx="3">
                  <c:v>-7.8494361842225944</c:v>
                </c:pt>
                <c:pt idx="4">
                  <c:v>-13.522415178910387</c:v>
                </c:pt>
                <c:pt idx="5">
                  <c:v>-12.460498859801394</c:v>
                </c:pt>
                <c:pt idx="6">
                  <c:v>-1.5449625737332857</c:v>
                </c:pt>
                <c:pt idx="7">
                  <c:v>-4.7087191812562432</c:v>
                </c:pt>
                <c:pt idx="8">
                  <c:v>-3.1043249003144426</c:v>
                </c:pt>
                <c:pt idx="9">
                  <c:v>-6.5908977853180168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B-46F8-A26A-2244036D3ED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Sheet1!$D$13:$D$22</c:f>
              <c:numCache>
                <c:formatCode>General</c:formatCode>
                <c:ptCount val="10"/>
                <c:pt idx="0">
                  <c:v>0</c:v>
                </c:pt>
                <c:pt idx="1">
                  <c:v>4.6049678288193938</c:v>
                </c:pt>
                <c:pt idx="2">
                  <c:v>-12.086637737543022</c:v>
                </c:pt>
                <c:pt idx="3">
                  <c:v>-9.0977106090079278</c:v>
                </c:pt>
                <c:pt idx="4">
                  <c:v>-13.968277719587013</c:v>
                </c:pt>
                <c:pt idx="5">
                  <c:v>-14.024390243902433</c:v>
                </c:pt>
                <c:pt idx="6">
                  <c:v>-2.4240610504264617</c:v>
                </c:pt>
                <c:pt idx="7">
                  <c:v>-6.7709112673948804</c:v>
                </c:pt>
                <c:pt idx="8">
                  <c:v>-4.8219362561723722</c:v>
                </c:pt>
                <c:pt idx="9">
                  <c:v>-8.5702528804429132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B-46F8-A26A-2244036D3ED7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XRP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Sheet1!$E$13:$E$22</c:f>
              <c:numCache>
                <c:formatCode>General</c:formatCode>
                <c:ptCount val="10"/>
                <c:pt idx="0">
                  <c:v>0</c:v>
                </c:pt>
                <c:pt idx="1">
                  <c:v>3.1846153846153809</c:v>
                </c:pt>
                <c:pt idx="2">
                  <c:v>-9.6358974358974372</c:v>
                </c:pt>
                <c:pt idx="3">
                  <c:v>-8.4205128205128297</c:v>
                </c:pt>
                <c:pt idx="4">
                  <c:v>-10.67692307692308</c:v>
                </c:pt>
                <c:pt idx="5">
                  <c:v>-12.820512820512816</c:v>
                </c:pt>
                <c:pt idx="6">
                  <c:v>-4.358974358974363</c:v>
                </c:pt>
                <c:pt idx="7">
                  <c:v>-8.3076923076923173</c:v>
                </c:pt>
                <c:pt idx="8">
                  <c:v>-7.2564102564102537</c:v>
                </c:pt>
                <c:pt idx="9">
                  <c:v>-9.4820512820512839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B-46F8-A26A-2244036D3ED7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LTC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Sheet1!$F$13:$F$22</c:f>
              <c:numCache>
                <c:formatCode>General</c:formatCode>
                <c:ptCount val="10"/>
                <c:pt idx="0">
                  <c:v>0</c:v>
                </c:pt>
                <c:pt idx="1">
                  <c:v>4.0979510244877577</c:v>
                </c:pt>
                <c:pt idx="2">
                  <c:v>-16.708312510411464</c:v>
                </c:pt>
                <c:pt idx="3">
                  <c:v>-14.092953523238382</c:v>
                </c:pt>
                <c:pt idx="4">
                  <c:v>-21.355988672330501</c:v>
                </c:pt>
                <c:pt idx="5">
                  <c:v>-25.020822921872405</c:v>
                </c:pt>
                <c:pt idx="6">
                  <c:v>-12.043978010994509</c:v>
                </c:pt>
                <c:pt idx="7">
                  <c:v>-14.49275362318841</c:v>
                </c:pt>
                <c:pt idx="8">
                  <c:v>-13.110111610861244</c:v>
                </c:pt>
                <c:pt idx="9">
                  <c:v>-17.941029485257374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1B-46F8-A26A-2244036D3ED7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Namecoin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Sheet1!$G$13:$G$22</c:f>
              <c:numCache>
                <c:formatCode>General</c:formatCode>
                <c:ptCount val="10"/>
                <c:pt idx="0">
                  <c:v>0</c:v>
                </c:pt>
                <c:pt idx="1">
                  <c:v>6.7164179104477499</c:v>
                </c:pt>
                <c:pt idx="2">
                  <c:v>12.686567164179099</c:v>
                </c:pt>
                <c:pt idx="3">
                  <c:v>-5.2238805970149302</c:v>
                </c:pt>
                <c:pt idx="4">
                  <c:v>-14.925373134328371</c:v>
                </c:pt>
                <c:pt idx="5">
                  <c:v>-31.343283582089555</c:v>
                </c:pt>
                <c:pt idx="6">
                  <c:v>-27.313432835820901</c:v>
                </c:pt>
                <c:pt idx="7">
                  <c:v>-9.7014925373134417</c:v>
                </c:pt>
                <c:pt idx="8">
                  <c:v>-9.7014925373134417</c:v>
                </c:pt>
                <c:pt idx="9">
                  <c:v>-14.179104477611951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1B-46F8-A26A-2244036D3ED7}"/>
            </c:ext>
          </c:extLst>
        </c:ser>
        <c:ser>
          <c:idx val="8"/>
          <c:order val="8"/>
          <c:tx>
            <c:v> </c:v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Sheet1!$H$13:$H$22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12-40FB-A401-165514E88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860984"/>
        <c:axId val="380861640"/>
      </c:lineChart>
      <c:catAx>
        <c:axId val="380860984"/>
        <c:scaling>
          <c:orientation val="minMax"/>
        </c:scaling>
        <c:delete val="1"/>
        <c:axPos val="b"/>
        <c:majorTickMark val="out"/>
        <c:minorTickMark val="none"/>
        <c:tickLblPos val="nextTo"/>
        <c:crossAx val="380861640"/>
        <c:crosses val="autoZero"/>
        <c:auto val="1"/>
        <c:lblAlgn val="ctr"/>
        <c:lblOffset val="100"/>
        <c:noMultiLvlLbl val="0"/>
      </c:catAx>
      <c:valAx>
        <c:axId val="38086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60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Crypto Price Directionality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BTC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Sheet1!$I$14:$I$22</c:f>
              <c:numCache>
                <c:formatCode>General</c:formatCode>
                <c:ptCount val="9"/>
                <c:pt idx="0">
                  <c:v>3.1022303908092863</c:v>
                </c:pt>
                <c:pt idx="1">
                  <c:v>-11.532249873031992</c:v>
                </c:pt>
                <c:pt idx="2">
                  <c:v>1.0287439793791855</c:v>
                </c:pt>
                <c:pt idx="3">
                  <c:v>-6.1562064948717179</c:v>
                </c:pt>
                <c:pt idx="4">
                  <c:v>1.2279671331084869</c:v>
                </c:pt>
                <c:pt idx="5">
                  <c:v>12.469269465662556</c:v>
                </c:pt>
                <c:pt idx="6">
                  <c:v>-3.213402473075393</c:v>
                </c:pt>
                <c:pt idx="7">
                  <c:v>1.6836737497458609</c:v>
                </c:pt>
                <c:pt idx="8">
                  <c:v>-3.5982750328294992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1-48C9-BEFA-329DC82B4B4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Sheet1!$J$14:$J$22</c:f>
              <c:numCache>
                <c:formatCode>General</c:formatCode>
                <c:ptCount val="9"/>
                <c:pt idx="0">
                  <c:v>4.6049678288193938</c:v>
                </c:pt>
                <c:pt idx="1">
                  <c:v>-15.956800057218468</c:v>
                </c:pt>
                <c:pt idx="2">
                  <c:v>3.3998553253053103</c:v>
                </c:pt>
                <c:pt idx="3">
                  <c:v>-5.3580246913580281</c:v>
                </c:pt>
                <c:pt idx="4">
                  <c:v>-6.5223062875022733E-2</c:v>
                </c:pt>
                <c:pt idx="5">
                  <c:v>13.492581473262829</c:v>
                </c:pt>
                <c:pt idx="6">
                  <c:v>-4.4548382149976913</c:v>
                </c:pt>
                <c:pt idx="7">
                  <c:v>2.0905224299815455</c:v>
                </c:pt>
                <c:pt idx="8">
                  <c:v>-3.9382148331564713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41-48C9-BEFA-329DC82B4B4C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XRP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Sheet1!$K$14:$K$22</c:f>
              <c:numCache>
                <c:formatCode>General</c:formatCode>
                <c:ptCount val="9"/>
                <c:pt idx="0">
                  <c:v>3.1846153846153809</c:v>
                </c:pt>
                <c:pt idx="1">
                  <c:v>-12.424829779832015</c:v>
                </c:pt>
                <c:pt idx="2">
                  <c:v>1.3449860961352835</c:v>
                </c:pt>
                <c:pt idx="3">
                  <c:v>-2.4638817336767764</c:v>
                </c:pt>
                <c:pt idx="4">
                  <c:v>-2.3998162820071127</c:v>
                </c:pt>
                <c:pt idx="5">
                  <c:v>9.7058823529411669</c:v>
                </c:pt>
                <c:pt idx="6">
                  <c:v>-4.1286863270777543</c:v>
                </c:pt>
                <c:pt idx="7">
                  <c:v>1.1465324384787607</c:v>
                </c:pt>
                <c:pt idx="8">
                  <c:v>-2.3997788222283716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41-48C9-BEFA-329DC82B4B4C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LTC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Sheet1!$L$14:$L$22</c:f>
              <c:numCache>
                <c:formatCode>General</c:formatCode>
                <c:ptCount val="9"/>
                <c:pt idx="0">
                  <c:v>4.0979510244877577</c:v>
                </c:pt>
                <c:pt idx="1">
                  <c:v>-19.987197951672272</c:v>
                </c:pt>
                <c:pt idx="2">
                  <c:v>3.1400000000000006</c:v>
                </c:pt>
                <c:pt idx="3">
                  <c:v>-8.454527826255573</c:v>
                </c:pt>
                <c:pt idx="4">
                  <c:v>-4.6600296547341724</c:v>
                </c:pt>
                <c:pt idx="5">
                  <c:v>17.307265052210617</c:v>
                </c:pt>
                <c:pt idx="6">
                  <c:v>-2.784090909090907</c:v>
                </c:pt>
                <c:pt idx="7">
                  <c:v>1.6169881161114326</c:v>
                </c:pt>
                <c:pt idx="8">
                  <c:v>-5.5598159509202434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41-48C9-BEFA-329DC82B4B4C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Namecoin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Sheet1!$M$14:$M$22</c:f>
              <c:numCache>
                <c:formatCode>General</c:formatCode>
                <c:ptCount val="9"/>
                <c:pt idx="0">
                  <c:v>6.7164179104477499</c:v>
                </c:pt>
                <c:pt idx="1">
                  <c:v>5.5944055944055995</c:v>
                </c:pt>
                <c:pt idx="2">
                  <c:v>-15.894039735099337</c:v>
                </c:pt>
                <c:pt idx="3">
                  <c:v>-10.236220472440953</c:v>
                </c:pt>
                <c:pt idx="4">
                  <c:v>-19.298245614035078</c:v>
                </c:pt>
                <c:pt idx="5">
                  <c:v>5.8695652173912967</c:v>
                </c:pt>
                <c:pt idx="6">
                  <c:v>24.229979466119094</c:v>
                </c:pt>
                <c:pt idx="7">
                  <c:v>0</c:v>
                </c:pt>
                <c:pt idx="8">
                  <c:v>-4.958677685950418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41-48C9-BEFA-329DC82B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18288"/>
        <c:axId val="559721568"/>
      </c:lineChart>
      <c:lineChart>
        <c:grouping val="standard"/>
        <c:varyColors val="0"/>
        <c:ser>
          <c:idx val="5"/>
          <c:order val="5"/>
          <c:tx>
            <c:strRef>
              <c:f>Sheet1!$A$29</c:f>
              <c:strCache>
                <c:ptCount val="1"/>
                <c:pt idx="0">
                  <c:v>positve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Sheet1!$A$30:$A$38</c:f>
              <c:numCache>
                <c:formatCode>General</c:formatCode>
                <c:ptCount val="9"/>
                <c:pt idx="0">
                  <c:v>0.44654044878997201</c:v>
                </c:pt>
                <c:pt idx="1">
                  <c:v>0.37895443210041702</c:v>
                </c:pt>
                <c:pt idx="2">
                  <c:v>0.35604036199348699</c:v>
                </c:pt>
                <c:pt idx="3">
                  <c:v>0.35924418541896902</c:v>
                </c:pt>
                <c:pt idx="4">
                  <c:v>0.3425660874807</c:v>
                </c:pt>
                <c:pt idx="5">
                  <c:v>0.39251515323264202</c:v>
                </c:pt>
                <c:pt idx="6">
                  <c:v>0.32647282231657199</c:v>
                </c:pt>
                <c:pt idx="7">
                  <c:v>0.36458303878127002</c:v>
                </c:pt>
                <c:pt idx="8">
                  <c:v>0.37079916573606803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41-48C9-BEFA-329DC82B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307544"/>
        <c:axId val="41631508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Sheet1!$B$29</c15:sqref>
                        </c15:formulaRef>
                      </c:ext>
                    </c:extLst>
                    <c:strCache>
                      <c:ptCount val="1"/>
                      <c:pt idx="0">
                        <c:v>negative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Sheet1!$B$30:$B$39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0.31284419774950101</c:v>
                      </c:pt>
                      <c:pt idx="1">
                        <c:v>0.26880712613944302</c:v>
                      </c:pt>
                      <c:pt idx="2">
                        <c:v>0.27579147882032401</c:v>
                      </c:pt>
                      <c:pt idx="3">
                        <c:v>0.286121949138606</c:v>
                      </c:pt>
                      <c:pt idx="4">
                        <c:v>0.24396229335314101</c:v>
                      </c:pt>
                      <c:pt idx="5">
                        <c:v>0.27244341119947202</c:v>
                      </c:pt>
                      <c:pt idx="6">
                        <c:v>0.23918579930074099</c:v>
                      </c:pt>
                      <c:pt idx="7">
                        <c:v>0.30668343477203502</c:v>
                      </c:pt>
                      <c:pt idx="8">
                        <c:v>0.20294047927381201</c:v>
                      </c:pt>
                      <c:pt idx="9">
                        <c:v>0.23676164402726799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141-48C9-BEFA-329DC82B4B4C}"/>
                  </c:ext>
                </c:extLst>
              </c15:ser>
            </c15:filteredLineSeries>
          </c:ext>
        </c:extLst>
      </c:lineChart>
      <c:catAx>
        <c:axId val="55971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21568"/>
        <c:crosses val="autoZero"/>
        <c:auto val="1"/>
        <c:lblAlgn val="ctr"/>
        <c:lblOffset val="100"/>
        <c:noMultiLvlLbl val="0"/>
      </c:catAx>
      <c:valAx>
        <c:axId val="5597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718288"/>
        <c:crosses val="autoZero"/>
        <c:crossBetween val="between"/>
      </c:valAx>
      <c:valAx>
        <c:axId val="41631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07544"/>
        <c:crosses val="max"/>
        <c:crossBetween val="between"/>
      </c:valAx>
      <c:catAx>
        <c:axId val="4163075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crossAx val="41631508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BTC vs. Positive</a:t>
            </a:r>
            <a:r>
              <a:rPr lang="en-US" baseline="0"/>
              <a:t> 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Sheet1!$I$13</c:f>
              <c:strCache>
                <c:ptCount val="1"/>
                <c:pt idx="0">
                  <c:v>BTC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Sheet1!$I$14:$I$22</c:f>
              <c:numCache>
                <c:formatCode>General</c:formatCode>
                <c:ptCount val="9"/>
                <c:pt idx="0">
                  <c:v>3.1022303908092863</c:v>
                </c:pt>
                <c:pt idx="1">
                  <c:v>-11.532249873031992</c:v>
                </c:pt>
                <c:pt idx="2">
                  <c:v>1.0287439793791855</c:v>
                </c:pt>
                <c:pt idx="3">
                  <c:v>-6.1562064948717179</c:v>
                </c:pt>
                <c:pt idx="4">
                  <c:v>1.2279671331084869</c:v>
                </c:pt>
                <c:pt idx="5">
                  <c:v>12.469269465662556</c:v>
                </c:pt>
                <c:pt idx="6">
                  <c:v>-3.213402473075393</c:v>
                </c:pt>
                <c:pt idx="7">
                  <c:v>1.6836737497458609</c:v>
                </c:pt>
                <c:pt idx="8">
                  <c:v>-3.5982750328294992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A-41F3-9F0C-CD207A4B9102}"/>
            </c:ext>
          </c:extLst>
        </c:ser>
        <c:ser>
          <c:idx val="1"/>
          <c:order val="1"/>
          <c:tx>
            <c:strRef>
              <c:f>Sheet1!$H$30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Sheet1!$H$31:$H$39</c:f>
              <c:numCache>
                <c:formatCode>General</c:formatCode>
                <c:ptCount val="9"/>
                <c:pt idx="0">
                  <c:v>0</c:v>
                </c:pt>
                <c:pt idx="1">
                  <c:v>-15.135474708438727</c:v>
                </c:pt>
                <c:pt idx="2">
                  <c:v>-6.0466557891736592</c:v>
                </c:pt>
                <c:pt idx="3">
                  <c:v>0.89984837885897895</c:v>
                </c:pt>
                <c:pt idx="4">
                  <c:v>-4.6425519507902866</c:v>
                </c:pt>
                <c:pt idx="5">
                  <c:v>14.580855366997215</c:v>
                </c:pt>
                <c:pt idx="6">
                  <c:v>-16.825421992543312</c:v>
                </c:pt>
                <c:pt idx="7">
                  <c:v>11.67331975576931</c:v>
                </c:pt>
                <c:pt idx="8">
                  <c:v>1.7049961993781462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A-41F3-9F0C-CD207A4B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689904"/>
        <c:axId val="550690232"/>
      </c:lineChart>
      <c:catAx>
        <c:axId val="55068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690232"/>
        <c:crosses val="autoZero"/>
        <c:auto val="1"/>
        <c:lblAlgn val="ctr"/>
        <c:lblOffset val="100"/>
        <c:noMultiLvlLbl val="0"/>
      </c:catAx>
      <c:valAx>
        <c:axId val="55069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68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ETH vs. Positive 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Sheet1!$J$13</c:f>
              <c:strCache>
                <c:ptCount val="1"/>
                <c:pt idx="0">
                  <c:v>ETH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Sheet1!$J$14:$J$22</c:f>
              <c:numCache>
                <c:formatCode>General</c:formatCode>
                <c:ptCount val="9"/>
                <c:pt idx="0">
                  <c:v>4.6049678288193938</c:v>
                </c:pt>
                <c:pt idx="1">
                  <c:v>-15.956800057218468</c:v>
                </c:pt>
                <c:pt idx="2">
                  <c:v>3.3998553253053103</c:v>
                </c:pt>
                <c:pt idx="3">
                  <c:v>-5.3580246913580281</c:v>
                </c:pt>
                <c:pt idx="4">
                  <c:v>-6.5223062875022733E-2</c:v>
                </c:pt>
                <c:pt idx="5">
                  <c:v>13.492581473262829</c:v>
                </c:pt>
                <c:pt idx="6">
                  <c:v>-4.4548382149976913</c:v>
                </c:pt>
                <c:pt idx="7">
                  <c:v>2.0905224299815455</c:v>
                </c:pt>
                <c:pt idx="8">
                  <c:v>-3.9382148331564713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6-4594-896F-7B7658D3CBFB}"/>
            </c:ext>
          </c:extLst>
        </c:ser>
        <c:ser>
          <c:idx val="1"/>
          <c:order val="1"/>
          <c:tx>
            <c:strRef>
              <c:f>Sheet1!$H$30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Sheet1!$H$31:$H$40</c:f>
              <c:numCache>
                <c:formatCode>General</c:formatCode>
                <c:ptCount val="10"/>
                <c:pt idx="0">
                  <c:v>0</c:v>
                </c:pt>
                <c:pt idx="1">
                  <c:v>-15.135474708438727</c:v>
                </c:pt>
                <c:pt idx="2">
                  <c:v>-6.0466557891736592</c:v>
                </c:pt>
                <c:pt idx="3">
                  <c:v>0.89984837885897895</c:v>
                </c:pt>
                <c:pt idx="4">
                  <c:v>-4.6425519507902866</c:v>
                </c:pt>
                <c:pt idx="5">
                  <c:v>14.580855366997215</c:v>
                </c:pt>
                <c:pt idx="6">
                  <c:v>-16.825421992543312</c:v>
                </c:pt>
                <c:pt idx="7">
                  <c:v>11.67331975576931</c:v>
                </c:pt>
                <c:pt idx="8">
                  <c:v>1.7049961993781462</c:v>
                </c:pt>
                <c:pt idx="9">
                  <c:v>9.9812736036444392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6-4594-896F-7B7658D3C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675440"/>
        <c:axId val="638673800"/>
      </c:lineChart>
      <c:catAx>
        <c:axId val="63867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3800"/>
        <c:crosses val="autoZero"/>
        <c:auto val="1"/>
        <c:lblAlgn val="ctr"/>
        <c:lblOffset val="100"/>
        <c:noMultiLvlLbl val="0"/>
      </c:catAx>
      <c:valAx>
        <c:axId val="63867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7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XRP vs Positive 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Sheet1!$K$13</c:f>
              <c:strCache>
                <c:ptCount val="1"/>
                <c:pt idx="0">
                  <c:v>XRP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Sheet1!$K$14:$K$22</c:f>
              <c:numCache>
                <c:formatCode>General</c:formatCode>
                <c:ptCount val="9"/>
                <c:pt idx="0">
                  <c:v>3.1846153846153809</c:v>
                </c:pt>
                <c:pt idx="1">
                  <c:v>-12.424829779832015</c:v>
                </c:pt>
                <c:pt idx="2">
                  <c:v>1.3449860961352835</c:v>
                </c:pt>
                <c:pt idx="3">
                  <c:v>-2.4638817336767764</c:v>
                </c:pt>
                <c:pt idx="4">
                  <c:v>-2.3998162820071127</c:v>
                </c:pt>
                <c:pt idx="5">
                  <c:v>9.7058823529411669</c:v>
                </c:pt>
                <c:pt idx="6">
                  <c:v>-4.1286863270777543</c:v>
                </c:pt>
                <c:pt idx="7">
                  <c:v>1.1465324384787607</c:v>
                </c:pt>
                <c:pt idx="8">
                  <c:v>-2.3997788222283716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9-4025-A940-0A40D626DAAE}"/>
            </c:ext>
          </c:extLst>
        </c:ser>
        <c:ser>
          <c:idx val="1"/>
          <c:order val="1"/>
          <c:tx>
            <c:strRef>
              <c:f>Sheet1!$H$30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Sheet1!$H$31:$H$40</c:f>
              <c:numCache>
                <c:formatCode>General</c:formatCode>
                <c:ptCount val="10"/>
                <c:pt idx="0">
                  <c:v>0</c:v>
                </c:pt>
                <c:pt idx="1">
                  <c:v>-15.135474708438727</c:v>
                </c:pt>
                <c:pt idx="2">
                  <c:v>-6.0466557891736592</c:v>
                </c:pt>
                <c:pt idx="3">
                  <c:v>0.89984837885897895</c:v>
                </c:pt>
                <c:pt idx="4">
                  <c:v>-4.6425519507902866</c:v>
                </c:pt>
                <c:pt idx="5">
                  <c:v>14.580855366997215</c:v>
                </c:pt>
                <c:pt idx="6">
                  <c:v>-16.825421992543312</c:v>
                </c:pt>
                <c:pt idx="7">
                  <c:v>11.67331975576931</c:v>
                </c:pt>
                <c:pt idx="8">
                  <c:v>1.7049961993781462</c:v>
                </c:pt>
                <c:pt idx="9">
                  <c:v>9.9812736036444392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79-4025-A940-0A40D626D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639696"/>
        <c:axId val="642640352"/>
      </c:lineChart>
      <c:catAx>
        <c:axId val="642639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40352"/>
        <c:crosses val="autoZero"/>
        <c:auto val="1"/>
        <c:lblAlgn val="ctr"/>
        <c:lblOffset val="100"/>
        <c:noMultiLvlLbl val="0"/>
      </c:catAx>
      <c:valAx>
        <c:axId val="6426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3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LTC</a:t>
            </a:r>
            <a:r>
              <a:rPr lang="en-US" baseline="0"/>
              <a:t> vs. Positive Sentiment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Sheet1!$L$13</c:f>
              <c:strCache>
                <c:ptCount val="1"/>
                <c:pt idx="0">
                  <c:v>LTC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Sheet1!$L$14:$L$22</c:f>
              <c:numCache>
                <c:formatCode>General</c:formatCode>
                <c:ptCount val="9"/>
                <c:pt idx="0">
                  <c:v>4.0979510244877577</c:v>
                </c:pt>
                <c:pt idx="1">
                  <c:v>-19.987197951672272</c:v>
                </c:pt>
                <c:pt idx="2">
                  <c:v>3.1400000000000006</c:v>
                </c:pt>
                <c:pt idx="3">
                  <c:v>-8.454527826255573</c:v>
                </c:pt>
                <c:pt idx="4">
                  <c:v>-4.6600296547341724</c:v>
                </c:pt>
                <c:pt idx="5">
                  <c:v>17.307265052210617</c:v>
                </c:pt>
                <c:pt idx="6">
                  <c:v>-2.784090909090907</c:v>
                </c:pt>
                <c:pt idx="7">
                  <c:v>1.6169881161114326</c:v>
                </c:pt>
                <c:pt idx="8">
                  <c:v>-5.5598159509202434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0-4D8A-8E9F-B71E5CE56947}"/>
            </c:ext>
          </c:extLst>
        </c:ser>
        <c:ser>
          <c:idx val="1"/>
          <c:order val="1"/>
          <c:tx>
            <c:strRef>
              <c:f>Sheet1!$H$30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Sheet1!$H$31:$H$40</c:f>
              <c:numCache>
                <c:formatCode>General</c:formatCode>
                <c:ptCount val="10"/>
                <c:pt idx="0">
                  <c:v>0</c:v>
                </c:pt>
                <c:pt idx="1">
                  <c:v>-15.135474708438727</c:v>
                </c:pt>
                <c:pt idx="2">
                  <c:v>-6.0466557891736592</c:v>
                </c:pt>
                <c:pt idx="3">
                  <c:v>0.89984837885897895</c:v>
                </c:pt>
                <c:pt idx="4">
                  <c:v>-4.6425519507902866</c:v>
                </c:pt>
                <c:pt idx="5">
                  <c:v>14.580855366997215</c:v>
                </c:pt>
                <c:pt idx="6">
                  <c:v>-16.825421992543312</c:v>
                </c:pt>
                <c:pt idx="7">
                  <c:v>11.67331975576931</c:v>
                </c:pt>
                <c:pt idx="8">
                  <c:v>1.7049961993781462</c:v>
                </c:pt>
                <c:pt idx="9">
                  <c:v>9.9812736036444392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0-4D8A-8E9F-B71E5CE56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163472"/>
        <c:axId val="405158552"/>
      </c:lineChart>
      <c:catAx>
        <c:axId val="405163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58552"/>
        <c:crosses val="autoZero"/>
        <c:auto val="1"/>
        <c:lblAlgn val="ctr"/>
        <c:lblOffset val="100"/>
        <c:noMultiLvlLbl val="0"/>
      </c:catAx>
      <c:valAx>
        <c:axId val="40515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6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Namecoin</a:t>
            </a:r>
            <a:r>
              <a:rPr lang="en-US" baseline="0"/>
              <a:t> vs. Positive Sentiment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Sheet1!$M$13</c:f>
              <c:strCache>
                <c:ptCount val="1"/>
                <c:pt idx="0">
                  <c:v>Namecoin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Sheet1!$M$14:$M$22</c:f>
              <c:numCache>
                <c:formatCode>General</c:formatCode>
                <c:ptCount val="9"/>
                <c:pt idx="0">
                  <c:v>6.7164179104477499</c:v>
                </c:pt>
                <c:pt idx="1">
                  <c:v>5.5944055944055995</c:v>
                </c:pt>
                <c:pt idx="2">
                  <c:v>-15.894039735099337</c:v>
                </c:pt>
                <c:pt idx="3">
                  <c:v>-10.236220472440953</c:v>
                </c:pt>
                <c:pt idx="4">
                  <c:v>-19.298245614035078</c:v>
                </c:pt>
                <c:pt idx="5">
                  <c:v>5.8695652173912967</c:v>
                </c:pt>
                <c:pt idx="6">
                  <c:v>24.229979466119094</c:v>
                </c:pt>
                <c:pt idx="7">
                  <c:v>0</c:v>
                </c:pt>
                <c:pt idx="8">
                  <c:v>-4.958677685950418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3-48C6-A8C0-6F420DD77D8F}"/>
            </c:ext>
          </c:extLst>
        </c:ser>
        <c:ser>
          <c:idx val="1"/>
          <c:order val="1"/>
          <c:tx>
            <c:strRef>
              <c:f>Sheet1!$H$30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Sheet1!$H$31:$H$40</c:f>
              <c:numCache>
                <c:formatCode>General</c:formatCode>
                <c:ptCount val="10"/>
                <c:pt idx="0">
                  <c:v>0</c:v>
                </c:pt>
                <c:pt idx="1">
                  <c:v>-15.135474708438727</c:v>
                </c:pt>
                <c:pt idx="2">
                  <c:v>-6.0466557891736592</c:v>
                </c:pt>
                <c:pt idx="3">
                  <c:v>0.89984837885897895</c:v>
                </c:pt>
                <c:pt idx="4">
                  <c:v>-4.6425519507902866</c:v>
                </c:pt>
                <c:pt idx="5">
                  <c:v>14.580855366997215</c:v>
                </c:pt>
                <c:pt idx="6">
                  <c:v>-16.825421992543312</c:v>
                </c:pt>
                <c:pt idx="7">
                  <c:v>11.67331975576931</c:v>
                </c:pt>
                <c:pt idx="8">
                  <c:v>1.7049961993781462</c:v>
                </c:pt>
                <c:pt idx="9">
                  <c:v>9.9812736036444392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3-48C6-A8C0-6F420DD77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620184"/>
        <c:axId val="416622152"/>
      </c:lineChart>
      <c:catAx>
        <c:axId val="416620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22152"/>
        <c:crosses val="autoZero"/>
        <c:auto val="1"/>
        <c:lblAlgn val="ctr"/>
        <c:lblOffset val="100"/>
        <c:noMultiLvlLbl val="0"/>
      </c:catAx>
      <c:valAx>
        <c:axId val="41662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62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397399</xdr:colOff>
      <xdr:row>42</xdr:row>
      <xdr:rowOff>105833</xdr:rowOff>
    </xdr:from>
    <xdr:to>
      <xdr:col>24</xdr:col>
      <xdr:colOff>338665</xdr:colOff>
      <xdr:row>58</xdr:row>
      <xdr:rowOff>21166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CD3C3A-B0C4-4E9A-A8B9-44912CCA1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359832</xdr:colOff>
      <xdr:row>0</xdr:row>
      <xdr:rowOff>0</xdr:rowOff>
    </xdr:from>
    <xdr:to>
      <xdr:col>41</xdr:col>
      <xdr:colOff>105833</xdr:colOff>
      <xdr:row>41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A2C467-6C0F-499A-A63D-7E00FF1E2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74084</xdr:colOff>
      <xdr:row>43</xdr:row>
      <xdr:rowOff>83607</xdr:rowOff>
    </xdr:from>
    <xdr:to>
      <xdr:col>35</xdr:col>
      <xdr:colOff>349251</xdr:colOff>
      <xdr:row>57</xdr:row>
      <xdr:rowOff>159807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C03A0B-09EC-49F2-8FE1-8CF261A23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370417</xdr:colOff>
      <xdr:row>46</xdr:row>
      <xdr:rowOff>9524</xdr:rowOff>
    </xdr:from>
    <xdr:to>
      <xdr:col>37</xdr:col>
      <xdr:colOff>31750</xdr:colOff>
      <xdr:row>60</xdr:row>
      <xdr:rowOff>85724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69F408-E56F-4169-9203-272482437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545040</xdr:colOff>
      <xdr:row>48</xdr:row>
      <xdr:rowOff>125941</xdr:rowOff>
    </xdr:from>
    <xdr:to>
      <xdr:col>38</xdr:col>
      <xdr:colOff>206374</xdr:colOff>
      <xdr:row>63</xdr:row>
      <xdr:rowOff>11641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1AADF1-491B-4080-B5ED-05BC6237C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21167</xdr:colOff>
      <xdr:row>51</xdr:row>
      <xdr:rowOff>51857</xdr:rowOff>
    </xdr:from>
    <xdr:to>
      <xdr:col>39</xdr:col>
      <xdr:colOff>296333</xdr:colOff>
      <xdr:row>65</xdr:row>
      <xdr:rowOff>128057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14A5E9-E04E-46B4-89FB-EBDE067A6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0</xdr:colOff>
      <xdr:row>53</xdr:row>
      <xdr:rowOff>178857</xdr:rowOff>
    </xdr:from>
    <xdr:to>
      <xdr:col>40</xdr:col>
      <xdr:colOff>275167</xdr:colOff>
      <xdr:row>68</xdr:row>
      <xdr:rowOff>64557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25BC25-005F-4E43-9B3C-ECE7AA516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494019</xdr:colOff>
      <xdr:row>15</xdr:row>
      <xdr:rowOff>180595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B06DF-15D1-4249-AE99-8399EED00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47619" cy="30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522362</xdr:colOff>
      <xdr:row>36</xdr:row>
      <xdr:rowOff>75333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B8E3E-D740-4DB5-B376-A17869DB9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04762" cy="69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436647</xdr:colOff>
      <xdr:row>36</xdr:row>
      <xdr:rowOff>37238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107E2-1498-46E6-838F-B6712730D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19047" cy="68952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408076</xdr:colOff>
      <xdr:row>36</xdr:row>
      <xdr:rowOff>18190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366B1-7178-41FC-B3A6-0B2EF82A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90476" cy="68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493790</xdr:colOff>
      <xdr:row>36</xdr:row>
      <xdr:rowOff>56286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641C62-270D-4C68-BC7E-9CFB57FE2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76190" cy="6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35BA-E282-44AF-A38C-C8FD92A2D4C7}">
  <dimension ref="A1:M40"/>
  <sheetViews>
    <sheetView tabSelected="1" topLeftCell="D1" zoomScale="90" zoomScaleNormal="90" workbookViewId="0">
      <selection activeCell="S20" sqref="S20"/>
    </sheetView>
  </sheetViews>
  <sheetFormatPr defaultRowHeight="15" x14ac:dyDescent="0.25"/>
  <cols>
    <col min="1" max="1" width="9.7109375" style="1" bestFit="1" customWidth="1"/>
    <col min="2" max="6" width="9.140625" style="1"/>
    <col min="7" max="7" width="10" style="1" bestFit="1" customWidth="1"/>
    <col min="8" max="16384" width="9.140625" style="1"/>
  </cols>
  <sheetData>
    <row r="1" spans="1:13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10</v>
      </c>
    </row>
    <row r="2" spans="1:13" x14ac:dyDescent="0.25">
      <c r="A2" s="2">
        <v>42991</v>
      </c>
      <c r="B2" s="1" t="s">
        <v>0</v>
      </c>
      <c r="C2" s="3">
        <v>3819.51</v>
      </c>
      <c r="D2" s="3">
        <v>267.32</v>
      </c>
      <c r="E2" s="3">
        <v>0.19500000000000001</v>
      </c>
      <c r="F2" s="3">
        <v>60.03</v>
      </c>
      <c r="G2" s="3">
        <v>1.34</v>
      </c>
    </row>
    <row r="3" spans="1:13" x14ac:dyDescent="0.25">
      <c r="A3" s="2">
        <v>42991</v>
      </c>
      <c r="B3" s="1" t="s">
        <v>1</v>
      </c>
      <c r="C3" s="3">
        <v>3938</v>
      </c>
      <c r="D3" s="3">
        <v>279.63</v>
      </c>
      <c r="E3" s="3">
        <v>0.20121</v>
      </c>
      <c r="F3" s="3">
        <v>62.49</v>
      </c>
      <c r="G3" s="3">
        <v>1.43</v>
      </c>
      <c r="K3" s="1" t="s">
        <v>12</v>
      </c>
    </row>
    <row r="4" spans="1:13" x14ac:dyDescent="0.25">
      <c r="A4" s="2">
        <v>42992</v>
      </c>
      <c r="B4" s="1" t="s">
        <v>2</v>
      </c>
      <c r="C4" s="3">
        <v>3483.86</v>
      </c>
      <c r="D4" s="3">
        <v>235.01</v>
      </c>
      <c r="E4" s="3">
        <v>0.17621000000000001</v>
      </c>
      <c r="F4" s="3">
        <v>50</v>
      </c>
      <c r="G4" s="3">
        <v>1.51</v>
      </c>
    </row>
    <row r="5" spans="1:13" x14ac:dyDescent="0.25">
      <c r="A5" s="2">
        <v>42992</v>
      </c>
      <c r="B5" s="1" t="s">
        <v>0</v>
      </c>
      <c r="C5" s="3">
        <v>3519.7</v>
      </c>
      <c r="D5" s="3">
        <v>243</v>
      </c>
      <c r="E5" s="3">
        <v>0.17857999999999999</v>
      </c>
      <c r="F5" s="3">
        <v>51.57</v>
      </c>
      <c r="G5" s="3">
        <v>1.27</v>
      </c>
    </row>
    <row r="6" spans="1:13" x14ac:dyDescent="0.25">
      <c r="A6" s="2">
        <v>42992</v>
      </c>
      <c r="B6" s="1" t="s">
        <v>1</v>
      </c>
      <c r="C6" s="3">
        <v>3303.02</v>
      </c>
      <c r="D6" s="3">
        <v>229.98</v>
      </c>
      <c r="E6" s="3">
        <v>0.17418</v>
      </c>
      <c r="F6" s="3">
        <v>47.21</v>
      </c>
      <c r="G6" s="3">
        <v>1.1399999999999999</v>
      </c>
      <c r="K6" s="1" t="s">
        <v>13</v>
      </c>
    </row>
    <row r="7" spans="1:13" x14ac:dyDescent="0.25">
      <c r="A7" s="2">
        <v>42993</v>
      </c>
      <c r="B7" s="1" t="s">
        <v>2</v>
      </c>
      <c r="C7" s="3">
        <v>3343.58</v>
      </c>
      <c r="D7" s="3">
        <v>229.83</v>
      </c>
      <c r="E7" s="3">
        <v>0.17</v>
      </c>
      <c r="F7" s="3">
        <v>45.01</v>
      </c>
      <c r="G7" s="3">
        <v>0.92</v>
      </c>
    </row>
    <row r="8" spans="1:13" x14ac:dyDescent="0.25">
      <c r="A8" s="2">
        <v>42993</v>
      </c>
      <c r="B8" s="1" t="s">
        <v>1</v>
      </c>
      <c r="C8" s="3">
        <v>3760.5</v>
      </c>
      <c r="D8" s="3">
        <v>260.83999999999997</v>
      </c>
      <c r="E8" s="3">
        <v>0.1865</v>
      </c>
      <c r="F8" s="3">
        <v>52.8</v>
      </c>
      <c r="G8" s="3">
        <v>0.97399999999999998</v>
      </c>
    </row>
    <row r="9" spans="1:13" x14ac:dyDescent="0.25">
      <c r="A9" s="2">
        <v>42994</v>
      </c>
      <c r="B9" s="1" t="s">
        <v>3</v>
      </c>
      <c r="C9" s="3">
        <v>3639.66</v>
      </c>
      <c r="D9" s="3">
        <v>249.22</v>
      </c>
      <c r="E9" s="3">
        <v>0.17879999999999999</v>
      </c>
      <c r="F9" s="3">
        <v>51.33</v>
      </c>
      <c r="G9" s="3">
        <v>1.21</v>
      </c>
    </row>
    <row r="10" spans="1:13" x14ac:dyDescent="0.25">
      <c r="A10" s="2">
        <v>42994</v>
      </c>
      <c r="B10" s="1" t="s">
        <v>1</v>
      </c>
      <c r="C10" s="3">
        <v>3700.94</v>
      </c>
      <c r="D10" s="3">
        <v>254.43</v>
      </c>
      <c r="E10" s="3">
        <v>0.18085000000000001</v>
      </c>
      <c r="F10" s="3">
        <v>52.16</v>
      </c>
      <c r="G10" s="3">
        <v>1.21</v>
      </c>
    </row>
    <row r="11" spans="1:13" x14ac:dyDescent="0.25">
      <c r="A11" s="2">
        <v>42995</v>
      </c>
      <c r="B11" s="1" t="s">
        <v>4</v>
      </c>
      <c r="C11" s="3">
        <v>3567.77</v>
      </c>
      <c r="D11" s="3">
        <v>244.41</v>
      </c>
      <c r="E11" s="3">
        <v>0.17651</v>
      </c>
      <c r="F11" s="3">
        <v>49.26</v>
      </c>
      <c r="G11" s="3">
        <v>1.1499999999999999</v>
      </c>
    </row>
    <row r="13" spans="1:13" x14ac:dyDescent="0.25">
      <c r="C13" s="1">
        <f>(C2-$C$2)/($C$2)*100</f>
        <v>0</v>
      </c>
      <c r="D13" s="1">
        <f>(D2-$D$2)/$D$2*100</f>
        <v>0</v>
      </c>
      <c r="E13" s="1">
        <f>(E2-$E$2)/$E$2*100</f>
        <v>0</v>
      </c>
      <c r="F13" s="1">
        <f>(F2-$F$2)/$F$2*100</f>
        <v>0</v>
      </c>
      <c r="G13" s="1">
        <f>(G2-$G$2)/$G$2*100</f>
        <v>0</v>
      </c>
      <c r="H13" s="1">
        <v>0</v>
      </c>
      <c r="I13" s="1" t="s">
        <v>7</v>
      </c>
      <c r="J13" s="1" t="s">
        <v>8</v>
      </c>
      <c r="K13" s="1" t="s">
        <v>9</v>
      </c>
      <c r="L13" s="1" t="s">
        <v>11</v>
      </c>
      <c r="M13" s="1" t="s">
        <v>10</v>
      </c>
    </row>
    <row r="14" spans="1:13" x14ac:dyDescent="0.25">
      <c r="C14" s="1">
        <f t="shared" ref="C14:C22" si="0">(C3-$C$2)/($C$2)*100</f>
        <v>3.1022303908092863</v>
      </c>
      <c r="D14" s="1">
        <f t="shared" ref="D14:D22" si="1">(D3-$D$2)/$D$2*100</f>
        <v>4.6049678288193938</v>
      </c>
      <c r="E14" s="1">
        <f t="shared" ref="E14:E22" si="2">(E3-$E$2)/$E$2*100</f>
        <v>3.1846153846153809</v>
      </c>
      <c r="F14" s="1">
        <f t="shared" ref="F14:F22" si="3">(F3-$F$2)/$F$2*100</f>
        <v>4.0979510244877577</v>
      </c>
      <c r="G14" s="1">
        <f t="shared" ref="G14:G22" si="4">(G3-$G$2)/$G$2*100</f>
        <v>6.7164179104477499</v>
      </c>
      <c r="H14" s="1">
        <v>0</v>
      </c>
      <c r="I14" s="1">
        <f>100*(C3-C2)/C2</f>
        <v>3.1022303908092863</v>
      </c>
      <c r="J14" s="1">
        <f t="shared" ref="J14:M22" si="5">100*(D3-D2)/D2</f>
        <v>4.6049678288193938</v>
      </c>
      <c r="K14" s="1">
        <f t="shared" si="5"/>
        <v>3.1846153846153809</v>
      </c>
      <c r="L14" s="1">
        <f t="shared" si="5"/>
        <v>4.0979510244877577</v>
      </c>
      <c r="M14" s="1">
        <f t="shared" si="5"/>
        <v>6.7164179104477499</v>
      </c>
    </row>
    <row r="15" spans="1:13" x14ac:dyDescent="0.25">
      <c r="C15" s="1">
        <f t="shared" si="0"/>
        <v>-8.787776442527969</v>
      </c>
      <c r="D15" s="1">
        <f t="shared" si="1"/>
        <v>-12.086637737543022</v>
      </c>
      <c r="E15" s="1">
        <f t="shared" si="2"/>
        <v>-9.6358974358974372</v>
      </c>
      <c r="F15" s="1">
        <f t="shared" si="3"/>
        <v>-16.708312510411464</v>
      </c>
      <c r="G15" s="1">
        <f t="shared" si="4"/>
        <v>12.686567164179099</v>
      </c>
      <c r="H15" s="1">
        <v>0</v>
      </c>
      <c r="I15" s="1">
        <f t="shared" ref="I15:I22" si="6">100*(C4-C3)/C3</f>
        <v>-11.532249873031992</v>
      </c>
      <c r="J15" s="1">
        <f t="shared" si="5"/>
        <v>-15.956800057218468</v>
      </c>
      <c r="K15" s="1">
        <f t="shared" si="5"/>
        <v>-12.424829779832015</v>
      </c>
      <c r="L15" s="1">
        <f t="shared" si="5"/>
        <v>-19.987197951672272</v>
      </c>
      <c r="M15" s="1">
        <f t="shared" si="5"/>
        <v>5.5944055944055995</v>
      </c>
    </row>
    <row r="16" spans="1:13" x14ac:dyDescent="0.25">
      <c r="C16" s="1">
        <f t="shared" si="0"/>
        <v>-7.8494361842225944</v>
      </c>
      <c r="D16" s="1">
        <f t="shared" si="1"/>
        <v>-9.0977106090079278</v>
      </c>
      <c r="E16" s="1">
        <f t="shared" si="2"/>
        <v>-8.4205128205128297</v>
      </c>
      <c r="F16" s="1">
        <f t="shared" si="3"/>
        <v>-14.092953523238382</v>
      </c>
      <c r="G16" s="1">
        <f t="shared" si="4"/>
        <v>-5.2238805970149302</v>
      </c>
      <c r="H16" s="1">
        <v>0</v>
      </c>
      <c r="I16" s="1">
        <f t="shared" si="6"/>
        <v>1.0287439793791855</v>
      </c>
      <c r="J16" s="1">
        <f t="shared" si="5"/>
        <v>3.3998553253053103</v>
      </c>
      <c r="K16" s="1">
        <f t="shared" si="5"/>
        <v>1.3449860961352835</v>
      </c>
      <c r="L16" s="1">
        <f t="shared" si="5"/>
        <v>3.1400000000000006</v>
      </c>
      <c r="M16" s="1">
        <f t="shared" si="5"/>
        <v>-15.894039735099337</v>
      </c>
    </row>
    <row r="17" spans="1:13" x14ac:dyDescent="0.25">
      <c r="C17" s="1">
        <f t="shared" si="0"/>
        <v>-13.522415178910387</v>
      </c>
      <c r="D17" s="1">
        <f t="shared" si="1"/>
        <v>-13.968277719587013</v>
      </c>
      <c r="E17" s="1">
        <f t="shared" si="2"/>
        <v>-10.67692307692308</v>
      </c>
      <c r="F17" s="1">
        <f t="shared" si="3"/>
        <v>-21.355988672330501</v>
      </c>
      <c r="G17" s="1">
        <f t="shared" si="4"/>
        <v>-14.925373134328371</v>
      </c>
      <c r="H17" s="1">
        <v>0</v>
      </c>
      <c r="I17" s="1">
        <f t="shared" si="6"/>
        <v>-6.1562064948717179</v>
      </c>
      <c r="J17" s="1">
        <f t="shared" si="5"/>
        <v>-5.3580246913580281</v>
      </c>
      <c r="K17" s="1">
        <f t="shared" si="5"/>
        <v>-2.4638817336767764</v>
      </c>
      <c r="L17" s="1">
        <f t="shared" si="5"/>
        <v>-8.454527826255573</v>
      </c>
      <c r="M17" s="1">
        <f t="shared" si="5"/>
        <v>-10.236220472440953</v>
      </c>
    </row>
    <row r="18" spans="1:13" x14ac:dyDescent="0.25">
      <c r="C18" s="1">
        <f t="shared" si="0"/>
        <v>-12.460498859801394</v>
      </c>
      <c r="D18" s="1">
        <f t="shared" si="1"/>
        <v>-14.024390243902433</v>
      </c>
      <c r="E18" s="1">
        <f t="shared" si="2"/>
        <v>-12.820512820512816</v>
      </c>
      <c r="F18" s="1">
        <f t="shared" si="3"/>
        <v>-25.020822921872405</v>
      </c>
      <c r="G18" s="1">
        <f t="shared" si="4"/>
        <v>-31.343283582089555</v>
      </c>
      <c r="H18" s="1">
        <v>0</v>
      </c>
      <c r="I18" s="1">
        <f t="shared" si="6"/>
        <v>1.2279671331084869</v>
      </c>
      <c r="J18" s="1">
        <f t="shared" si="5"/>
        <v>-6.5223062875022733E-2</v>
      </c>
      <c r="K18" s="1">
        <f t="shared" si="5"/>
        <v>-2.3998162820071127</v>
      </c>
      <c r="L18" s="1">
        <f t="shared" si="5"/>
        <v>-4.6600296547341724</v>
      </c>
      <c r="M18" s="1">
        <f t="shared" si="5"/>
        <v>-19.298245614035078</v>
      </c>
    </row>
    <row r="19" spans="1:13" x14ac:dyDescent="0.25">
      <c r="C19" s="1">
        <f t="shared" si="0"/>
        <v>-1.5449625737332857</v>
      </c>
      <c r="D19" s="1">
        <f t="shared" si="1"/>
        <v>-2.4240610504264617</v>
      </c>
      <c r="E19" s="1">
        <f t="shared" si="2"/>
        <v>-4.358974358974363</v>
      </c>
      <c r="F19" s="1">
        <f t="shared" si="3"/>
        <v>-12.043978010994509</v>
      </c>
      <c r="G19" s="1">
        <f t="shared" si="4"/>
        <v>-27.313432835820901</v>
      </c>
      <c r="H19" s="1">
        <v>0</v>
      </c>
      <c r="I19" s="1">
        <f t="shared" si="6"/>
        <v>12.469269465662556</v>
      </c>
      <c r="J19" s="1">
        <f t="shared" si="5"/>
        <v>13.492581473262829</v>
      </c>
      <c r="K19" s="1">
        <f t="shared" si="5"/>
        <v>9.7058823529411669</v>
      </c>
      <c r="L19" s="1">
        <f t="shared" si="5"/>
        <v>17.307265052210617</v>
      </c>
      <c r="M19" s="1">
        <f t="shared" si="5"/>
        <v>5.8695652173912967</v>
      </c>
    </row>
    <row r="20" spans="1:13" x14ac:dyDescent="0.25">
      <c r="C20" s="1">
        <f t="shared" si="0"/>
        <v>-4.7087191812562432</v>
      </c>
      <c r="D20" s="1">
        <f t="shared" si="1"/>
        <v>-6.7709112673948804</v>
      </c>
      <c r="E20" s="1">
        <f t="shared" si="2"/>
        <v>-8.3076923076923173</v>
      </c>
      <c r="F20" s="1">
        <f t="shared" si="3"/>
        <v>-14.49275362318841</v>
      </c>
      <c r="G20" s="1">
        <f t="shared" si="4"/>
        <v>-9.7014925373134417</v>
      </c>
      <c r="H20" s="1">
        <v>0</v>
      </c>
      <c r="I20" s="1">
        <f t="shared" si="6"/>
        <v>-3.213402473075393</v>
      </c>
      <c r="J20" s="1">
        <f t="shared" si="5"/>
        <v>-4.4548382149976913</v>
      </c>
      <c r="K20" s="1">
        <f t="shared" si="5"/>
        <v>-4.1286863270777543</v>
      </c>
      <c r="L20" s="1">
        <f t="shared" si="5"/>
        <v>-2.784090909090907</v>
      </c>
      <c r="M20" s="1">
        <f t="shared" si="5"/>
        <v>24.229979466119094</v>
      </c>
    </row>
    <row r="21" spans="1:13" x14ac:dyDescent="0.25">
      <c r="C21" s="1">
        <f t="shared" si="0"/>
        <v>-3.1043249003144426</v>
      </c>
      <c r="D21" s="1">
        <f t="shared" si="1"/>
        <v>-4.8219362561723722</v>
      </c>
      <c r="E21" s="1">
        <f t="shared" si="2"/>
        <v>-7.2564102564102537</v>
      </c>
      <c r="F21" s="1">
        <f t="shared" si="3"/>
        <v>-13.110111610861244</v>
      </c>
      <c r="G21" s="1">
        <f t="shared" si="4"/>
        <v>-9.7014925373134417</v>
      </c>
      <c r="H21" s="1">
        <v>0</v>
      </c>
      <c r="I21" s="1">
        <f t="shared" si="6"/>
        <v>1.6836737497458609</v>
      </c>
      <c r="J21" s="1">
        <f t="shared" si="5"/>
        <v>2.0905224299815455</v>
      </c>
      <c r="K21" s="1">
        <f t="shared" si="5"/>
        <v>1.1465324384787607</v>
      </c>
      <c r="L21" s="1">
        <f t="shared" si="5"/>
        <v>1.6169881161114326</v>
      </c>
      <c r="M21" s="1">
        <f t="shared" si="5"/>
        <v>0</v>
      </c>
    </row>
    <row r="22" spans="1:13" x14ac:dyDescent="0.25">
      <c r="C22" s="1">
        <f t="shared" si="0"/>
        <v>-6.5908977853180168</v>
      </c>
      <c r="D22" s="1">
        <f t="shared" si="1"/>
        <v>-8.5702528804429132</v>
      </c>
      <c r="E22" s="1">
        <f t="shared" si="2"/>
        <v>-9.4820512820512839</v>
      </c>
      <c r="F22" s="1">
        <f t="shared" si="3"/>
        <v>-17.941029485257374</v>
      </c>
      <c r="G22" s="1">
        <f t="shared" si="4"/>
        <v>-14.179104477611951</v>
      </c>
      <c r="H22" s="1">
        <v>0</v>
      </c>
      <c r="I22" s="1">
        <f t="shared" si="6"/>
        <v>-3.5982750328294992</v>
      </c>
      <c r="J22" s="1">
        <f t="shared" si="5"/>
        <v>-3.9382148331564713</v>
      </c>
      <c r="K22" s="1">
        <f t="shared" si="5"/>
        <v>-2.3997788222283716</v>
      </c>
      <c r="L22" s="1">
        <f t="shared" si="5"/>
        <v>-5.5598159509202434</v>
      </c>
      <c r="M22" s="1">
        <f t="shared" si="5"/>
        <v>-4.958677685950418</v>
      </c>
    </row>
    <row r="23" spans="1:13" x14ac:dyDescent="0.25">
      <c r="E23" s="1" t="s">
        <v>19</v>
      </c>
      <c r="K23" s="1" t="s">
        <v>20</v>
      </c>
    </row>
    <row r="28" spans="1:13" x14ac:dyDescent="0.25">
      <c r="E28" s="1" t="s">
        <v>17</v>
      </c>
    </row>
    <row r="29" spans="1:13" x14ac:dyDescent="0.25">
      <c r="A29" s="1" t="s">
        <v>14</v>
      </c>
      <c r="B29" s="4" t="s">
        <v>15</v>
      </c>
      <c r="C29" s="1" t="s">
        <v>16</v>
      </c>
      <c r="E29" s="1" t="s">
        <v>18</v>
      </c>
      <c r="F29" s="1" t="s">
        <v>15</v>
      </c>
      <c r="H29" s="1" t="s">
        <v>20</v>
      </c>
    </row>
    <row r="30" spans="1:13" x14ac:dyDescent="0.25">
      <c r="A30">
        <v>0.44654044878997201</v>
      </c>
      <c r="B30">
        <v>0.31284419774950101</v>
      </c>
      <c r="C30" s="1">
        <v>0.2937374406448342</v>
      </c>
      <c r="E30" s="1">
        <f>100*(A30-$A$30)/$A$30</f>
        <v>0</v>
      </c>
      <c r="F30" s="1">
        <f>100*(B30-$B$30)/$B$30</f>
        <v>0</v>
      </c>
      <c r="H30" s="1" t="s">
        <v>18</v>
      </c>
      <c r="I30" s="1" t="s">
        <v>15</v>
      </c>
    </row>
    <row r="31" spans="1:13" x14ac:dyDescent="0.25">
      <c r="A31">
        <v>0.37895443210041702</v>
      </c>
      <c r="B31">
        <v>0.26880712613944302</v>
      </c>
      <c r="C31" s="1">
        <v>0.18222684774608916</v>
      </c>
      <c r="E31" s="1">
        <f t="shared" ref="E31:E39" si="7">100*(A31-$A$30)/$A$30</f>
        <v>-15.135474708438727</v>
      </c>
      <c r="F31" s="1">
        <f t="shared" ref="F31:F39" si="8">100*(B31-$B$30)/$B$30</f>
        <v>-14.076358752007005</v>
      </c>
      <c r="H31" s="1">
        <v>0</v>
      </c>
      <c r="I31" s="1">
        <f>100*(B31-B30)/B30</f>
        <v>-14.076358752007005</v>
      </c>
    </row>
    <row r="32" spans="1:13" x14ac:dyDescent="0.25">
      <c r="A32">
        <v>0.35604036199348699</v>
      </c>
      <c r="B32">
        <v>0.27579147882032401</v>
      </c>
      <c r="C32" s="1">
        <v>0.23131867541201884</v>
      </c>
      <c r="E32" s="1">
        <f t="shared" si="7"/>
        <v>-20.266940439935659</v>
      </c>
      <c r="F32" s="1">
        <f t="shared" si="8"/>
        <v>-11.843824880155092</v>
      </c>
      <c r="H32" s="1">
        <v>-15.135474708438727</v>
      </c>
      <c r="I32" s="1">
        <f t="shared" ref="I32:I39" si="9">100*(B32-B31)/B31</f>
        <v>2.598276608655782</v>
      </c>
    </row>
    <row r="33" spans="1:9" x14ac:dyDescent="0.25">
      <c r="A33">
        <v>0.35924418541896902</v>
      </c>
      <c r="B33">
        <v>0.286121949138606</v>
      </c>
      <c r="C33" s="1">
        <v>0.1829328187614872</v>
      </c>
      <c r="E33" s="1">
        <f t="shared" si="7"/>
        <v>-19.549463796069759</v>
      </c>
      <c r="F33" s="1">
        <f t="shared" si="8"/>
        <v>-8.5417114343581044</v>
      </c>
      <c r="H33" s="1">
        <v>-6.0466557891736592</v>
      </c>
      <c r="I33" s="1">
        <f t="shared" si="9"/>
        <v>3.7457539886546725</v>
      </c>
    </row>
    <row r="34" spans="1:9" x14ac:dyDescent="0.25">
      <c r="A34">
        <v>0.3425660874807</v>
      </c>
      <c r="B34">
        <v>0.24396229335314101</v>
      </c>
      <c r="C34" s="1">
        <v>0.22066292044278768</v>
      </c>
      <c r="E34" s="1">
        <f t="shared" si="7"/>
        <v>-23.284421734026566</v>
      </c>
      <c r="F34" s="1">
        <f t="shared" si="8"/>
        <v>-22.017958105623794</v>
      </c>
      <c r="H34" s="1">
        <v>0.89984837885897895</v>
      </c>
      <c r="I34" s="1">
        <f t="shared" si="9"/>
        <v>-14.734855509124744</v>
      </c>
    </row>
    <row r="35" spans="1:9" x14ac:dyDescent="0.25">
      <c r="A35">
        <v>0.39251515323264202</v>
      </c>
      <c r="B35">
        <v>0.27244341119947202</v>
      </c>
      <c r="C35" s="1">
        <v>0.22055771555147113</v>
      </c>
      <c r="E35" s="1">
        <f t="shared" si="7"/>
        <v>-12.098634223109428</v>
      </c>
      <c r="F35" s="1">
        <f t="shared" si="8"/>
        <v>-12.914027762272422</v>
      </c>
      <c r="H35" s="1">
        <v>-4.6425519507902866</v>
      </c>
      <c r="I35" s="1">
        <f t="shared" si="9"/>
        <v>11.674393388778295</v>
      </c>
    </row>
    <row r="36" spans="1:9" x14ac:dyDescent="0.25">
      <c r="A36">
        <v>0.32647282231657199</v>
      </c>
      <c r="B36">
        <v>0.23918579930074099</v>
      </c>
      <c r="C36" s="1">
        <v>0.18465063188226011</v>
      </c>
      <c r="E36" s="1">
        <f t="shared" si="7"/>
        <v>-26.888409952280316</v>
      </c>
      <c r="F36" s="1">
        <f t="shared" si="8"/>
        <v>-23.5447545387239</v>
      </c>
      <c r="H36" s="1">
        <v>14.580855366997215</v>
      </c>
      <c r="I36" s="1">
        <f t="shared" si="9"/>
        <v>-12.207163224212147</v>
      </c>
    </row>
    <row r="37" spans="1:9" x14ac:dyDescent="0.25">
      <c r="A37">
        <v>0.36458303878127002</v>
      </c>
      <c r="B37">
        <v>0.30668343477203502</v>
      </c>
      <c r="C37" s="1">
        <v>0.17026905959478697</v>
      </c>
      <c r="E37" s="1">
        <f t="shared" si="7"/>
        <v>-18.353860267482787</v>
      </c>
      <c r="F37" s="1">
        <f t="shared" si="8"/>
        <v>-1.9692751285734242</v>
      </c>
      <c r="H37" s="1">
        <v>-16.825421992543312</v>
      </c>
      <c r="I37" s="1">
        <f t="shared" si="9"/>
        <v>28.219750365039719</v>
      </c>
    </row>
    <row r="38" spans="1:9" x14ac:dyDescent="0.25">
      <c r="A38">
        <v>0.37079916573606803</v>
      </c>
      <c r="B38">
        <v>0.20294047927381201</v>
      </c>
      <c r="C38" s="1">
        <v>0.2429858784813918</v>
      </c>
      <c r="E38" s="1">
        <f t="shared" si="7"/>
        <v>-16.961796688104396</v>
      </c>
      <c r="F38" s="1">
        <f t="shared" si="8"/>
        <v>-35.130496031667029</v>
      </c>
      <c r="H38" s="1">
        <v>11.67331975576931</v>
      </c>
      <c r="I38" s="1">
        <f t="shared" si="9"/>
        <v>-33.827374985328952</v>
      </c>
    </row>
    <row r="39" spans="1:9" x14ac:dyDescent="0.25">
      <c r="A39">
        <v>0.40780964498821598</v>
      </c>
      <c r="B39">
        <v>0.23676164402726799</v>
      </c>
      <c r="C39" s="1">
        <v>0.30702976918123481</v>
      </c>
      <c r="E39" s="1">
        <f t="shared" si="7"/>
        <v>-8.6735264199935589</v>
      </c>
      <c r="F39" s="1">
        <f t="shared" si="8"/>
        <v>-24.319630752159082</v>
      </c>
      <c r="H39" s="1">
        <v>1.7049961993781462</v>
      </c>
      <c r="I39" s="1">
        <f t="shared" si="9"/>
        <v>16.665558726617412</v>
      </c>
    </row>
    <row r="40" spans="1:9" x14ac:dyDescent="0.25">
      <c r="A40"/>
      <c r="B40"/>
      <c r="H40" s="1">
        <v>9.9812736036444392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AE47-0964-400E-82AA-AF1C71FC021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E302-FDDE-4987-AB54-625498B049EA}">
  <dimension ref="A1"/>
  <sheetViews>
    <sheetView zoomScale="50" zoomScaleNormal="5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57E2-AF68-466A-B2C9-32984042D328}">
  <dimension ref="A1"/>
  <sheetViews>
    <sheetView zoomScale="50" zoomScaleNormal="5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39D2-262B-4CA9-9BD3-E7B2F22450DD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98B2-73DC-4491-BD99-2555A493498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Namecoin</vt:lpstr>
      <vt:lpstr>BTC</vt:lpstr>
      <vt:lpstr>ETH</vt:lpstr>
      <vt:lpstr>LTC</vt:lpstr>
      <vt:lpstr>XRP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</dc:creator>
  <cp:lastModifiedBy>Jonny</cp:lastModifiedBy>
  <dcterms:created xsi:type="dcterms:W3CDTF">2017-09-17T18:22:03Z</dcterms:created>
  <dcterms:modified xsi:type="dcterms:W3CDTF">2017-09-20T04:46:18Z</dcterms:modified>
</cp:coreProperties>
</file>